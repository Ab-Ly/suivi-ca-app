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y/Desktop/"/>
    </mc:Choice>
  </mc:AlternateContent>
  <xr:revisionPtr revIDLastSave="0" documentId="8_{4CF8C072-4DCF-E849-8F72-1A50D915BBAC}" xr6:coauthVersionLast="47" xr6:coauthVersionMax="47" xr10:uidLastSave="{00000000-0000-0000-0000-000000000000}"/>
  <bookViews>
    <workbookView xWindow="3580" yWindow="2500" windowWidth="27240" windowHeight="16440" xr2:uid="{82738FBF-0392-7948-BDA1-029C824E4C93}"/>
  </bookViews>
  <sheets>
    <sheet name="16-11-202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1" l="1"/>
  <c r="J30" i="1"/>
  <c r="J29" i="1"/>
  <c r="J28" i="1"/>
  <c r="J27" i="1"/>
  <c r="J26" i="1"/>
  <c r="J25" i="1"/>
  <c r="J23" i="1"/>
  <c r="J22" i="1"/>
  <c r="J21" i="1"/>
  <c r="J20" i="1"/>
  <c r="J19" i="1"/>
  <c r="J18" i="1"/>
  <c r="J17" i="1"/>
  <c r="J16" i="1"/>
  <c r="N15" i="1"/>
  <c r="N13" i="1"/>
  <c r="J13" i="1"/>
  <c r="J12" i="1"/>
  <c r="N11" i="1"/>
  <c r="J11" i="1"/>
  <c r="J9" i="1"/>
  <c r="J34" i="1" s="1"/>
  <c r="N8" i="1" s="1"/>
</calcChain>
</file>

<file path=xl/sharedStrings.xml><?xml version="1.0" encoding="utf-8"?>
<sst xmlns="http://schemas.openxmlformats.org/spreadsheetml/2006/main" count="23" uniqueCount="19">
  <si>
    <t xml:space="preserve">Pointage ISTIRAHA </t>
  </si>
  <si>
    <t>Station : ISTIRAHA PEPINIERE</t>
  </si>
  <si>
    <t>Responsable de station : ABDELALI LYOUSSEFI</t>
  </si>
  <si>
    <t>Date</t>
  </si>
  <si>
    <t xml:space="preserve">N° Equipe </t>
  </si>
  <si>
    <t>Nom&amp; Prénom</t>
  </si>
  <si>
    <t>Qualification</t>
  </si>
  <si>
    <t xml:space="preserve">Travail/Maladie/Congé/ Repos </t>
  </si>
  <si>
    <t>Temps de travail</t>
  </si>
  <si>
    <t>Observations</t>
  </si>
  <si>
    <t>Heures de travail :</t>
  </si>
  <si>
    <t>Travail</t>
  </si>
  <si>
    <t>Congé</t>
  </si>
  <si>
    <t>Jours de maladie:</t>
  </si>
  <si>
    <t>Maladie</t>
  </si>
  <si>
    <t>Férié</t>
  </si>
  <si>
    <t>Jours de Repos  :</t>
  </si>
  <si>
    <t>Repos</t>
  </si>
  <si>
    <t>Congés Pris: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</si>
</sst>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hh]:mm"/>
    <numFmt numFmtId="165" formatCode="[$-F800]dddd\,\ mmmm\ dd\,\ yyyy"/>
    <numFmt numFmtId="166" formatCode="[$-40C]dd/\ mmm"/>
    <numFmt numFmtId="167" formatCode="[$-409]d/m/yy\ h:mm\ AM/PM;@"/>
  </numFmts>
  <fonts count="7" x14ac:knownFonts="1">
    <font>
      <sz val="11"/>
      <color theme="1"/>
      <name val="Aptos Narrow"/>
      <family val="2"/>
      <scheme val="minor"/>
    </font>
    <font>
      <b/>
      <sz val="24"/>
      <color theme="5" tint="-0.249977111117893"/>
      <name val="Castellar"/>
      <family val="1"/>
    </font>
    <font>
      <b/>
      <u/>
      <sz val="11"/>
      <color theme="0"/>
      <name val="Aptos Narrow"/>
      <family val="2"/>
      <scheme val="minor"/>
    </font>
    <font>
      <b/>
      <i/>
      <sz val="11"/>
      <color theme="3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2" fillId="3" borderId="1" xfId="0" applyFont="1" applyFill="1" applyBorder="1"/>
    <xf numFmtId="0" fontId="0" fillId="2" borderId="2" xfId="0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164" fontId="0" fillId="0" borderId="3" xfId="0" applyNumberFormat="1" applyBorder="1"/>
    <xf numFmtId="165" fontId="4" fillId="5" borderId="4" xfId="0" applyNumberFormat="1" applyFont="1" applyFill="1" applyBorder="1" applyAlignment="1">
      <alignment horizontal="center" vertical="center" wrapText="1"/>
    </xf>
    <xf numFmtId="166" fontId="0" fillId="2" borderId="3" xfId="0" applyNumberFormat="1" applyFill="1" applyBorder="1"/>
    <xf numFmtId="0" fontId="0" fillId="2" borderId="3" xfId="0" applyFill="1" applyBorder="1"/>
    <xf numFmtId="167" fontId="0" fillId="0" borderId="3" xfId="0" applyNumberFormat="1" applyBorder="1"/>
    <xf numFmtId="20" fontId="0" fillId="0" borderId="3" xfId="0" applyNumberFormat="1" applyBorder="1"/>
    <xf numFmtId="164" fontId="0" fillId="2" borderId="3" xfId="0" applyNumberFormat="1" applyFill="1" applyBorder="1"/>
    <xf numFmtId="49" fontId="0" fillId="2" borderId="3" xfId="0" applyNumberFormat="1" applyFill="1" applyBorder="1" applyAlignment="1">
      <alignment horizontal="center" vertical="center"/>
    </xf>
    <xf numFmtId="0" fontId="5" fillId="2" borderId="0" xfId="0" applyFont="1" applyFill="1"/>
    <xf numFmtId="165" fontId="4" fillId="5" borderId="5" xfId="0" applyNumberFormat="1" applyFont="1" applyFill="1" applyBorder="1" applyAlignment="1">
      <alignment horizontal="center" vertical="center" wrapText="1"/>
    </xf>
    <xf numFmtId="0" fontId="0" fillId="0" borderId="6" xfId="0" applyBorder="1"/>
    <xf numFmtId="0" fontId="6" fillId="2" borderId="0" xfId="0" applyFont="1" applyFill="1"/>
    <xf numFmtId="166" fontId="0" fillId="0" borderId="3" xfId="0" applyNumberFormat="1" applyBorder="1"/>
    <xf numFmtId="49" fontId="0" fillId="0" borderId="3" xfId="0" applyNumberFormat="1" applyBorder="1" applyAlignment="1">
      <alignment horizontal="center" vertical="center"/>
    </xf>
    <xf numFmtId="0" fontId="0" fillId="0" borderId="3" xfId="0" applyBorder="1"/>
    <xf numFmtId="165" fontId="4" fillId="5" borderId="7" xfId="0" applyNumberFormat="1" applyFont="1" applyFill="1" applyBorder="1" applyAlignment="1">
      <alignment horizontal="center" vertical="center" wrapText="1"/>
    </xf>
    <xf numFmtId="0" fontId="0" fillId="2" borderId="8" xfId="0" applyFill="1" applyBorder="1"/>
    <xf numFmtId="0" fontId="0" fillId="2" borderId="9" xfId="0" applyFill="1" applyBorder="1"/>
    <xf numFmtId="164" fontId="0" fillId="2" borderId="10" xfId="0" applyNumberFormat="1" applyFill="1" applyBorder="1"/>
  </cellXfs>
  <cellStyles count="1">
    <cellStyle name="Normal" xfId="0" builtinId="0"/>
  </cellStyles>
  <dxfs count="2"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34ED5-3BA2-0F43-8AB1-79298635A08C}">
  <dimension ref="B1:AJ99"/>
  <sheetViews>
    <sheetView tabSelected="1" zoomScale="85" zoomScaleNormal="85" workbookViewId="0">
      <selection activeCell="F27" sqref="F27"/>
    </sheetView>
  </sheetViews>
  <sheetFormatPr baseColWidth="10" defaultColWidth="11.5" defaultRowHeight="15" x14ac:dyDescent="0.2"/>
  <cols>
    <col min="1" max="1" width="1.1640625" customWidth="1"/>
    <col min="2" max="2" width="34.1640625" customWidth="1"/>
    <col min="4" max="4" width="23.33203125" bestFit="1" customWidth="1"/>
    <col min="5" max="5" width="18.5" bestFit="1" customWidth="1"/>
    <col min="6" max="6" width="15.83203125" bestFit="1" customWidth="1"/>
    <col min="7" max="8" width="15.5" bestFit="1" customWidth="1"/>
    <col min="10" max="10" width="16.1640625" bestFit="1" customWidth="1"/>
    <col min="11" max="11" width="52.33203125" bestFit="1" customWidth="1"/>
    <col min="13" max="13" width="17.1640625" bestFit="1" customWidth="1"/>
  </cols>
  <sheetData>
    <row r="1" spans="2:17" s="2" customFormat="1" x14ac:dyDescent="0.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2:17" s="2" customFormat="1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7" s="2" customFormat="1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7" s="2" customFormat="1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7" s="2" customFormat="1" x14ac:dyDescent="0.2">
      <c r="B5" s="3"/>
      <c r="C5" s="3"/>
      <c r="D5" s="3"/>
      <c r="E5" s="3"/>
      <c r="F5" s="3"/>
      <c r="G5" s="3"/>
      <c r="H5" s="3"/>
      <c r="I5" s="3"/>
      <c r="J5" s="3"/>
      <c r="K5" s="4" t="s">
        <v>1</v>
      </c>
    </row>
    <row r="6" spans="2:17" s="2" customFormat="1" x14ac:dyDescent="0.2">
      <c r="B6" s="3"/>
      <c r="C6" s="3"/>
      <c r="D6" s="3"/>
      <c r="E6" s="3"/>
      <c r="F6" s="3"/>
      <c r="G6" s="3"/>
      <c r="H6" s="3"/>
      <c r="I6" s="3"/>
      <c r="J6" s="3"/>
      <c r="K6" s="4" t="s">
        <v>2</v>
      </c>
    </row>
    <row r="7" spans="2:17" s="2" customFormat="1" x14ac:dyDescent="0.2">
      <c r="B7" s="5"/>
      <c r="C7" s="5"/>
      <c r="D7" s="5"/>
      <c r="E7" s="5"/>
      <c r="F7" s="5"/>
      <c r="G7" s="5"/>
      <c r="H7" s="5"/>
      <c r="I7" s="5"/>
      <c r="J7" s="5"/>
      <c r="K7" s="5"/>
    </row>
    <row r="8" spans="2:17" s="2" customFormat="1" ht="40.5" customHeight="1" x14ac:dyDescent="0.2">
      <c r="B8" s="6" t="s">
        <v>3</v>
      </c>
      <c r="C8" s="6" t="s">
        <v>4</v>
      </c>
      <c r="D8" s="6" t="s">
        <v>5</v>
      </c>
      <c r="E8" s="6" t="s">
        <v>6</v>
      </c>
      <c r="F8" s="7" t="s">
        <v>7</v>
      </c>
      <c r="G8" s="6"/>
      <c r="H8" s="6"/>
      <c r="I8" s="6"/>
      <c r="J8" s="6" t="s">
        <v>8</v>
      </c>
      <c r="K8" s="6" t="s">
        <v>9</v>
      </c>
      <c r="M8" s="4" t="s">
        <v>10</v>
      </c>
      <c r="N8" s="8">
        <f>J34</f>
        <v>0</v>
      </c>
      <c r="P8" s="2" t="s">
        <v>11</v>
      </c>
    </row>
    <row r="9" spans="2:17" s="2" customFormat="1" x14ac:dyDescent="0.2">
      <c r="B9" s="9">
        <v>46007</v>
      </c>
      <c r="C9" s="10"/>
      <c r="D9" s="11"/>
      <c r="E9" s="11"/>
      <c r="F9" s="11"/>
      <c r="G9" s="12"/>
      <c r="H9" s="12"/>
      <c r="I9" s="13"/>
      <c r="J9" s="14">
        <f t="shared" ref="J9:J23" si="0">(H9-I9)-G9</f>
        <v>0</v>
      </c>
      <c r="K9" s="15"/>
      <c r="P9" s="2" t="s">
        <v>12</v>
      </c>
      <c r="Q9" s="16" t="s">
        <v>11</v>
      </c>
    </row>
    <row r="10" spans="2:17" s="2" customFormat="1" x14ac:dyDescent="0.2">
      <c r="B10" s="17"/>
      <c r="C10" s="10"/>
      <c r="D10" s="11"/>
      <c r="E10" s="11"/>
      <c r="F10" s="11"/>
      <c r="G10" s="12"/>
      <c r="H10" s="12"/>
      <c r="I10" s="13"/>
      <c r="J10" s="14"/>
      <c r="K10" s="15"/>
      <c r="Q10" s="16"/>
    </row>
    <row r="11" spans="2:17" s="2" customFormat="1" ht="16.5" customHeight="1" x14ac:dyDescent="0.2">
      <c r="B11" s="17"/>
      <c r="C11" s="10"/>
      <c r="D11" s="11"/>
      <c r="E11" s="11"/>
      <c r="F11" s="11"/>
      <c r="G11" s="12"/>
      <c r="H11" s="12"/>
      <c r="I11" s="13"/>
      <c r="J11" s="14">
        <f t="shared" si="0"/>
        <v>0</v>
      </c>
      <c r="K11" s="15"/>
      <c r="M11" s="4" t="s">
        <v>13</v>
      </c>
      <c r="N11" s="18">
        <f>COUNTIF(F9:F32,"*Maladie*")</f>
        <v>0</v>
      </c>
      <c r="P11" s="2" t="s">
        <v>14</v>
      </c>
      <c r="Q11" s="16" t="s">
        <v>15</v>
      </c>
    </row>
    <row r="12" spans="2:17" s="2" customFormat="1" x14ac:dyDescent="0.2">
      <c r="B12" s="17"/>
      <c r="C12" s="10"/>
      <c r="D12" s="11"/>
      <c r="E12" s="11"/>
      <c r="F12" s="11"/>
      <c r="G12" s="12"/>
      <c r="H12" s="12"/>
      <c r="I12" s="13"/>
      <c r="J12" s="14">
        <f t="shared" si="0"/>
        <v>0</v>
      </c>
      <c r="K12" s="15"/>
      <c r="M12" s="19"/>
      <c r="P12" s="2" t="s">
        <v>15</v>
      </c>
      <c r="Q12" s="16" t="s">
        <v>12</v>
      </c>
    </row>
    <row r="13" spans="2:17" s="2" customFormat="1" x14ac:dyDescent="0.2">
      <c r="B13" s="17"/>
      <c r="C13" s="10"/>
      <c r="D13" s="11"/>
      <c r="E13" s="11"/>
      <c r="F13" s="11"/>
      <c r="G13" s="12"/>
      <c r="H13" s="12"/>
      <c r="I13" s="13"/>
      <c r="J13" s="14">
        <f t="shared" si="0"/>
        <v>0</v>
      </c>
      <c r="K13" s="15"/>
      <c r="M13" s="4" t="s">
        <v>16</v>
      </c>
      <c r="N13" s="18">
        <f>COUNTIF(F9:F32,"Repos")</f>
        <v>0</v>
      </c>
      <c r="P13" s="2" t="s">
        <v>17</v>
      </c>
      <c r="Q13" s="16" t="s">
        <v>14</v>
      </c>
    </row>
    <row r="14" spans="2:17" s="2" customFormat="1" x14ac:dyDescent="0.2">
      <c r="B14" s="17"/>
      <c r="C14" s="20"/>
      <c r="D14" s="11"/>
      <c r="E14" s="11"/>
      <c r="F14" s="11"/>
      <c r="G14" s="12"/>
      <c r="H14" s="12"/>
      <c r="I14" s="13"/>
      <c r="J14" s="14">
        <v>0</v>
      </c>
      <c r="K14" s="21"/>
      <c r="M14" s="19"/>
      <c r="Q14" s="16"/>
    </row>
    <row r="15" spans="2:17" s="2" customFormat="1" x14ac:dyDescent="0.2">
      <c r="B15" s="17"/>
      <c r="C15" s="20"/>
      <c r="D15" s="22"/>
      <c r="E15" s="22"/>
      <c r="F15" s="22"/>
      <c r="G15" s="12"/>
      <c r="H15" s="12"/>
      <c r="I15" s="13"/>
      <c r="J15" s="8"/>
      <c r="K15" s="21"/>
      <c r="M15" s="4" t="s">
        <v>18</v>
      </c>
      <c r="N15" s="18">
        <f>COUNTIF(F9:F32,"Congé")</f>
        <v>0</v>
      </c>
      <c r="Q15" s="16"/>
    </row>
    <row r="16" spans="2:17" s="2" customFormat="1" x14ac:dyDescent="0.2">
      <c r="B16" s="17"/>
      <c r="C16" s="10"/>
      <c r="D16" s="11"/>
      <c r="E16" s="11"/>
      <c r="F16" s="11"/>
      <c r="G16" s="12"/>
      <c r="H16" s="12"/>
      <c r="I16" s="13"/>
      <c r="J16" s="14">
        <f>(H16-I16)-G16</f>
        <v>0</v>
      </c>
      <c r="K16" s="15"/>
    </row>
    <row r="17" spans="2:36" s="2" customFormat="1" x14ac:dyDescent="0.2">
      <c r="B17" s="17"/>
      <c r="C17" s="20"/>
      <c r="D17" s="22"/>
      <c r="E17" s="22"/>
      <c r="F17" s="22"/>
      <c r="G17" s="12"/>
      <c r="H17" s="12"/>
      <c r="I17" s="13"/>
      <c r="J17" s="8">
        <f t="shared" si="0"/>
        <v>0</v>
      </c>
      <c r="K17" s="21"/>
    </row>
    <row r="18" spans="2:36" s="2" customFormat="1" x14ac:dyDescent="0.2">
      <c r="B18" s="17"/>
      <c r="C18" s="20"/>
      <c r="D18" s="22"/>
      <c r="E18" s="22"/>
      <c r="F18" s="22"/>
      <c r="G18" s="12"/>
      <c r="H18" s="12"/>
      <c r="I18" s="13"/>
      <c r="J18" s="8">
        <f t="shared" si="0"/>
        <v>0</v>
      </c>
      <c r="K18" s="21"/>
      <c r="M18" s="19"/>
    </row>
    <row r="19" spans="2:36" s="2" customFormat="1" x14ac:dyDescent="0.2">
      <c r="B19" s="17"/>
      <c r="C19" s="20"/>
      <c r="D19" s="22"/>
      <c r="E19" s="22"/>
      <c r="F19" s="22"/>
      <c r="G19" s="12"/>
      <c r="H19" s="12"/>
      <c r="I19" s="13"/>
      <c r="J19" s="8">
        <f t="shared" si="0"/>
        <v>0</v>
      </c>
      <c r="K19" s="21"/>
    </row>
    <row r="20" spans="2:36" s="2" customFormat="1" x14ac:dyDescent="0.2">
      <c r="B20" s="17"/>
      <c r="C20" s="20"/>
      <c r="D20" s="22"/>
      <c r="E20" s="22"/>
      <c r="F20" s="22"/>
      <c r="G20" s="12"/>
      <c r="H20" s="12"/>
      <c r="I20" s="13"/>
      <c r="J20" s="8">
        <f t="shared" si="0"/>
        <v>0</v>
      </c>
      <c r="K20" s="21"/>
    </row>
    <row r="21" spans="2:36" x14ac:dyDescent="0.2">
      <c r="B21" s="17"/>
      <c r="C21" s="20"/>
      <c r="D21" s="22"/>
      <c r="E21" s="22"/>
      <c r="F21" s="11"/>
      <c r="G21" s="12"/>
      <c r="H21" s="12"/>
      <c r="I21" s="13"/>
      <c r="J21" s="8">
        <f t="shared" si="0"/>
        <v>0</v>
      </c>
      <c r="K21" s="2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2:36" x14ac:dyDescent="0.2">
      <c r="B22" s="17"/>
      <c r="C22" s="20"/>
      <c r="D22" s="22"/>
      <c r="E22" s="22"/>
      <c r="F22" s="22"/>
      <c r="G22" s="12"/>
      <c r="H22" s="12"/>
      <c r="I22" s="13"/>
      <c r="J22" s="8">
        <f t="shared" si="0"/>
        <v>0</v>
      </c>
      <c r="K22" s="2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2:36" x14ac:dyDescent="0.2">
      <c r="B23" s="17"/>
      <c r="C23" s="20"/>
      <c r="D23" s="11"/>
      <c r="E23" s="22"/>
      <c r="F23" s="22"/>
      <c r="G23" s="12"/>
      <c r="H23" s="12"/>
      <c r="I23" s="13"/>
      <c r="J23" s="8">
        <f t="shared" si="0"/>
        <v>0</v>
      </c>
      <c r="K23" s="2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2:36" x14ac:dyDescent="0.2">
      <c r="B24" s="17"/>
      <c r="C24" s="20"/>
      <c r="D24" s="22"/>
      <c r="E24" s="22"/>
      <c r="F24" s="22"/>
      <c r="G24" s="12"/>
      <c r="H24" s="12"/>
      <c r="I24" s="13"/>
      <c r="J24" s="8"/>
      <c r="K24" s="2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2:36" x14ac:dyDescent="0.2">
      <c r="B25" s="17"/>
      <c r="C25" s="20"/>
      <c r="D25" s="22"/>
      <c r="E25" s="22"/>
      <c r="F25" s="22"/>
      <c r="G25" s="12"/>
      <c r="H25" s="12"/>
      <c r="I25" s="13"/>
      <c r="J25" s="8">
        <f t="shared" ref="J25:J28" si="1">(H25-I25)-G25</f>
        <v>0</v>
      </c>
      <c r="K25" s="2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2:36" x14ac:dyDescent="0.2">
      <c r="B26" s="17"/>
      <c r="C26" s="20"/>
      <c r="D26" s="22"/>
      <c r="E26" s="22"/>
      <c r="F26" s="11"/>
      <c r="G26" s="12"/>
      <c r="H26" s="12"/>
      <c r="I26" s="13"/>
      <c r="J26" s="8">
        <f t="shared" si="1"/>
        <v>0</v>
      </c>
      <c r="K26" s="2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2:36" s="2" customFormat="1" x14ac:dyDescent="0.2">
      <c r="B27" s="17"/>
      <c r="C27" s="20"/>
      <c r="D27" s="22"/>
      <c r="E27" s="22"/>
      <c r="F27" s="22"/>
      <c r="G27" s="12"/>
      <c r="H27" s="12"/>
      <c r="I27" s="13"/>
      <c r="J27" s="8">
        <f t="shared" si="1"/>
        <v>0</v>
      </c>
      <c r="K27" s="15"/>
    </row>
    <row r="28" spans="2:36" s="2" customFormat="1" x14ac:dyDescent="0.2">
      <c r="B28" s="17"/>
      <c r="C28" s="10"/>
      <c r="D28" s="11"/>
      <c r="E28" s="11"/>
      <c r="F28" s="11"/>
      <c r="G28" s="12"/>
      <c r="H28" s="12"/>
      <c r="I28" s="13"/>
      <c r="J28" s="14">
        <f t="shared" si="1"/>
        <v>0</v>
      </c>
      <c r="K28" s="21"/>
    </row>
    <row r="29" spans="2:36" s="2" customFormat="1" x14ac:dyDescent="0.2">
      <c r="B29" s="17"/>
      <c r="C29" s="20"/>
      <c r="D29" s="22"/>
      <c r="E29" s="22"/>
      <c r="F29" s="22"/>
      <c r="G29" s="12"/>
      <c r="H29" s="12"/>
      <c r="I29" s="13"/>
      <c r="J29" s="8">
        <f>(H29-I29)-G29</f>
        <v>0</v>
      </c>
      <c r="K29" s="21"/>
    </row>
    <row r="30" spans="2:36" s="2" customFormat="1" x14ac:dyDescent="0.2">
      <c r="B30" s="17"/>
      <c r="C30" s="20"/>
      <c r="D30" s="22"/>
      <c r="E30" s="22"/>
      <c r="F30" s="22"/>
      <c r="G30" s="12"/>
      <c r="H30" s="12"/>
      <c r="I30" s="13"/>
      <c r="J30" s="8">
        <f t="shared" ref="J30" si="2">(H30-I30)-G30</f>
        <v>0</v>
      </c>
      <c r="K30" s="21"/>
    </row>
    <row r="31" spans="2:36" s="2" customFormat="1" x14ac:dyDescent="0.2">
      <c r="B31" s="17"/>
      <c r="C31" s="20"/>
      <c r="D31" s="22"/>
      <c r="E31" s="22"/>
      <c r="F31" s="22"/>
      <c r="G31" s="12"/>
      <c r="H31" s="12"/>
      <c r="I31" s="13"/>
      <c r="J31" s="8"/>
      <c r="K31" s="21"/>
    </row>
    <row r="32" spans="2:36" s="2" customFormat="1" x14ac:dyDescent="0.2">
      <c r="B32" s="23"/>
      <c r="C32" s="20"/>
      <c r="D32" s="11"/>
      <c r="E32" s="11"/>
      <c r="F32" s="11"/>
      <c r="G32" s="12"/>
      <c r="H32" s="12"/>
      <c r="I32" s="13"/>
      <c r="J32" s="14"/>
      <c r="K32" s="15"/>
    </row>
    <row r="33" spans="2:11" s="2" customFormat="1" ht="16" thickBot="1" x14ac:dyDescent="0.25">
      <c r="C33"/>
      <c r="D33"/>
      <c r="E33"/>
      <c r="F33"/>
      <c r="G33"/>
      <c r="H33"/>
      <c r="I33"/>
      <c r="J33"/>
      <c r="K33"/>
    </row>
    <row r="34" spans="2:11" s="2" customFormat="1" ht="16" thickBot="1" x14ac:dyDescent="0.25">
      <c r="B34" s="24"/>
      <c r="C34" s="25"/>
      <c r="D34" s="25"/>
      <c r="E34" s="25"/>
      <c r="F34" s="25"/>
      <c r="G34" s="25"/>
      <c r="H34" s="25"/>
      <c r="I34" s="26">
        <f>SUM(I9:I32)</f>
        <v>0</v>
      </c>
      <c r="J34" s="26">
        <f>SUM(J9:J32)</f>
        <v>0</v>
      </c>
    </row>
    <row r="35" spans="2:11" s="2" customFormat="1" ht="15.75" customHeight="1" x14ac:dyDescent="0.2"/>
    <row r="36" spans="2:11" s="2" customFormat="1" ht="15.75" customHeight="1" x14ac:dyDescent="0.2"/>
    <row r="37" spans="2:11" s="2" customFormat="1" ht="15.75" customHeight="1" x14ac:dyDescent="0.2"/>
    <row r="38" spans="2:11" s="2" customFormat="1" ht="15" customHeight="1" x14ac:dyDescent="0.2"/>
    <row r="39" spans="2:11" s="2" customFormat="1" x14ac:dyDescent="0.2"/>
    <row r="40" spans="2:11" s="2" customFormat="1" x14ac:dyDescent="0.2"/>
    <row r="41" spans="2:11" s="2" customFormat="1" x14ac:dyDescent="0.2"/>
    <row r="42" spans="2:11" s="2" customFormat="1" x14ac:dyDescent="0.2"/>
    <row r="43" spans="2:11" s="2" customFormat="1" x14ac:dyDescent="0.2"/>
    <row r="44" spans="2:11" s="2" customFormat="1" x14ac:dyDescent="0.2"/>
    <row r="45" spans="2:11" s="2" customFormat="1" x14ac:dyDescent="0.2"/>
    <row r="46" spans="2:11" s="2" customFormat="1" x14ac:dyDescent="0.2"/>
    <row r="47" spans="2:11" s="2" customFormat="1" x14ac:dyDescent="0.2"/>
    <row r="48" spans="2:11" s="2" customFormat="1" x14ac:dyDescent="0.2"/>
    <row r="49" s="2" customFormat="1" x14ac:dyDescent="0.2"/>
    <row r="50" s="2" customFormat="1" x14ac:dyDescent="0.2"/>
    <row r="51" s="2" customFormat="1" x14ac:dyDescent="0.2"/>
    <row r="52" s="2" customForma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x14ac:dyDescent="0.2"/>
    <row r="62" s="2" customFormat="1" x14ac:dyDescent="0.2"/>
    <row r="63" s="2" customFormat="1" x14ac:dyDescent="0.2"/>
    <row r="64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</sheetData>
  <mergeCells count="2">
    <mergeCell ref="B1:L4"/>
    <mergeCell ref="B9:B32"/>
  </mergeCells>
  <conditionalFormatting sqref="D9:E32">
    <cfRule type="cellIs" dxfId="1" priority="1" operator="equal">
      <formula>"dimanche"</formula>
    </cfRule>
    <cfRule type="cellIs" dxfId="0" priority="2" operator="equal">
      <formula>"samedi"</formula>
    </cfRule>
  </conditionalFormatting>
  <conditionalFormatting sqref="K9:K13 K17">
    <cfRule type="colorScale" priority="72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73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</conditionalFormatting>
  <conditionalFormatting sqref="K14:K15">
    <cfRule type="colorScale" priority="42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43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</conditionalFormatting>
  <conditionalFormatting sqref="K16:K31">
    <cfRule type="colorScale" priority="36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</conditionalFormatting>
  <conditionalFormatting sqref="K17">
    <cfRule type="colorScale" priority="74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75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76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77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78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</conditionalFormatting>
  <conditionalFormatting sqref="K17:K18">
    <cfRule type="colorScale" priority="45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46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47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48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49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50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51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52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53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54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55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56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57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58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59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60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61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62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63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64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65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66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67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68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69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70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</conditionalFormatting>
  <conditionalFormatting sqref="K20">
    <cfRule type="colorScale" priority="3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4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5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6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7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8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9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10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11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12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13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14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15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16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17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18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19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20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21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22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23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24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25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26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27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28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29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30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31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32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33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34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35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</conditionalFormatting>
  <conditionalFormatting sqref="K21">
    <cfRule type="colorScale" priority="38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</conditionalFormatting>
  <conditionalFormatting sqref="K22:K24">
    <cfRule type="colorScale" priority="44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</conditionalFormatting>
  <conditionalFormatting sqref="K25">
    <cfRule type="colorScale" priority="71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</conditionalFormatting>
  <conditionalFormatting sqref="K26">
    <cfRule type="colorScale" priority="39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</conditionalFormatting>
  <conditionalFormatting sqref="K29">
    <cfRule type="colorScale" priority="37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</conditionalFormatting>
  <conditionalFormatting sqref="K32">
    <cfRule type="colorScale" priority="40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  <cfRule type="colorScale" priority="41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</conditionalFormatting>
  <conditionalFormatting sqref="N8">
    <cfRule type="colorScale" priority="79">
      <colorScale>
        <cfvo type="num" val="&quot;H2 &lt; I2&quot;"/>
        <cfvo type="num" val="0"/>
        <cfvo type="num" val="&quot;I2 &gt; H2&quot;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F9:F32" xr:uid="{D921E246-AB6C-9048-8555-279D54AF5C5B}">
      <formula1>$P$8:$P$13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16-11-2025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ISTIRAHA Pepiniere</dc:creator>
  <cp:lastModifiedBy>ISTIRAHA Pepiniere</cp:lastModifiedBy>
  <dcterms:created xsi:type="dcterms:W3CDTF">2025-12-10T15:52:48Z</dcterms:created>
  <dcterms:modified xsi:type="dcterms:W3CDTF">2025-12-10T15:53:30Z</dcterms:modified>
</cp:coreProperties>
</file>