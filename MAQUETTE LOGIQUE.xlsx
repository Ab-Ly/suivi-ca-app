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m-my.sharepoint.com/personal/istiraha_pepiniere_petrom_ma/Documents/Bureau/"/>
    </mc:Choice>
  </mc:AlternateContent>
  <xr:revisionPtr revIDLastSave="0" documentId="8_{E5BB7B9D-9FDD-4CFB-B72A-A6C2F8A6F4AF}" xr6:coauthVersionLast="47" xr6:coauthVersionMax="47" xr10:uidLastSave="{00000000-0000-0000-0000-000000000000}"/>
  <bookViews>
    <workbookView xWindow="-120" yWindow="-120" windowWidth="25440" windowHeight="15270" xr2:uid="{9EEC8879-E86E-4AD2-9ABE-68D13108C1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  <c r="D71" i="1"/>
  <c r="D69" i="1"/>
  <c r="D68" i="1"/>
  <c r="D62" i="1"/>
  <c r="D61" i="1"/>
  <c r="A61" i="1"/>
  <c r="G48" i="1"/>
  <c r="G49" i="1" s="1"/>
  <c r="C65" i="1" s="1"/>
  <c r="B61" i="1"/>
  <c r="B48" i="1"/>
  <c r="B49" i="1" s="1"/>
  <c r="B65" i="1" s="1"/>
  <c r="B33" i="1"/>
  <c r="B34" i="1" s="1"/>
  <c r="B64" i="1" s="1"/>
  <c r="P16" i="1"/>
  <c r="O16" i="1"/>
  <c r="L16" i="1"/>
  <c r="K16" i="1"/>
  <c r="H16" i="1"/>
  <c r="G16" i="1"/>
  <c r="D16" i="1"/>
  <c r="C16" i="1"/>
  <c r="D17" i="1" l="1"/>
  <c r="C68" i="1" s="1"/>
  <c r="P17" i="1"/>
  <c r="C71" i="1" s="1"/>
  <c r="H17" i="1"/>
  <c r="C69" i="1" s="1"/>
  <c r="L17" i="1"/>
  <c r="B74" i="1" l="1"/>
  <c r="C70" i="1"/>
  <c r="C74" i="1" s="1"/>
  <c r="D7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ABDELALI LYOUSSEFI</author>
  </authors>
  <commentList>
    <comment ref="A61" authorId="0" shapeId="0" xr:uid="{30217270-844E-45AE-BF57-D88F01E1914A}">
      <text>
        <r>
          <rPr>
            <b/>
            <sz val="9"/>
            <color indexed="81"/>
            <rFont val="Tahoma"/>
            <family val="2"/>
          </rPr>
          <t xml:space="preserve">toujours dans la meme position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1" authorId="0" shapeId="0" xr:uid="{C2B83A05-5DF9-4876-B9AD-186DB4B49856}">
      <text>
        <r>
          <rPr>
            <b/>
            <sz val="9"/>
            <color indexed="81"/>
            <rFont val="Tahoma"/>
            <family val="2"/>
          </rPr>
          <t>toujour dans la meme position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2" authorId="0" shapeId="0" xr:uid="{CB500D91-85C8-444C-8C68-F7F68CCA5B3B}">
      <text>
        <r>
          <rPr>
            <b/>
            <sz val="9"/>
            <color indexed="81"/>
            <rFont val="Tahoma"/>
            <family val="2"/>
          </rPr>
          <t xml:space="preserve">toujours dans la meme position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<sst xmlns="http://schemas.openxmlformats.org/spreadsheetml/2006/main" count="63" uniqueCount="31">
  <si>
    <t>STE OTRADI:</t>
  </si>
  <si>
    <t xml:space="preserve">DATE </t>
  </si>
  <si>
    <t>SOLDE</t>
  </si>
  <si>
    <t>TOTAL OPPERATION</t>
  </si>
  <si>
    <t>ENTREE</t>
  </si>
  <si>
    <t>SORTIE</t>
  </si>
  <si>
    <t>STE STM SCHOOL:</t>
  </si>
  <si>
    <t>ASSOCIATION SIRAJ</t>
  </si>
  <si>
    <t>STE RITAGE SEVEN C</t>
  </si>
  <si>
    <t>CAISSE DEPENCE</t>
  </si>
  <si>
    <t>DEISGNATION</t>
  </si>
  <si>
    <t>ALLIMENTATION</t>
  </si>
  <si>
    <t>ACHAT : RECHARGE</t>
  </si>
  <si>
    <t>ACHAT : GASOIL</t>
  </si>
  <si>
    <t>CAISSE DEPENCE:</t>
  </si>
  <si>
    <t>MR ALI</t>
  </si>
  <si>
    <t>MR ABDELLAH</t>
  </si>
  <si>
    <t>MR AZIZ</t>
  </si>
  <si>
    <t xml:space="preserve">RESTE J-1: </t>
  </si>
  <si>
    <t>RECETTE A 8H</t>
  </si>
  <si>
    <t>COMPTAGE MATIN</t>
  </si>
  <si>
    <t>LE 03-12-2025</t>
  </si>
  <si>
    <t>DESIGNATION</t>
  </si>
  <si>
    <t>ENTRE</t>
  </si>
  <si>
    <t>AUTRES SORTIE:</t>
  </si>
  <si>
    <t>AUTRES ENTRE:</t>
  </si>
  <si>
    <t>AUTRE SORTIE</t>
  </si>
  <si>
    <t>AUTRE ENTRE</t>
  </si>
  <si>
    <t>RECAP STE : (SI LA VALEUR DU SOLDE EST POSITIVE METTRE DANS L'ENTRE OU LE CONTRAIRE) :</t>
  </si>
  <si>
    <t>DATE : 03/12/2024</t>
  </si>
  <si>
    <t>TOUS LES SOLDES APRES CETTE LIGNE SONT ARRETE JUSQUA LA DATE DANS LA CELULE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</si>
</sst>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2" fillId="0" borderId="1" xfId="1" applyFont="1" applyBorder="1" applyAlignment="1"/>
    <xf numFmtId="43" fontId="2" fillId="0" borderId="3" xfId="1" applyFont="1" applyBorder="1" applyAlignment="1"/>
    <xf numFmtId="43" fontId="2" fillId="0" borderId="1" xfId="1" applyFont="1" applyBorder="1"/>
    <xf numFmtId="43" fontId="2" fillId="0" borderId="1" xfId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2" borderId="0" xfId="0" applyNumberFormat="1" applyFill="1" applyAlignment="1">
      <alignment horizontal="center"/>
    </xf>
    <xf numFmtId="43" fontId="0" fillId="0" borderId="0" xfId="1" applyFont="1"/>
    <xf numFmtId="43" fontId="3" fillId="2" borderId="0" xfId="1" applyFont="1" applyFill="1" applyAlignment="1">
      <alignment horizontal="center" vertical="center"/>
    </xf>
    <xf numFmtId="0" fontId="4" fillId="0" borderId="7" xfId="0" applyFont="1" applyBorder="1" applyAlignment="1">
      <alignment horizontal="center"/>
    </xf>
    <xf numFmtId="43" fontId="0" fillId="0" borderId="8" xfId="1" applyFont="1" applyBorder="1"/>
    <xf numFmtId="43" fontId="0" fillId="0" borderId="7" xfId="1" applyFont="1" applyBorder="1"/>
    <xf numFmtId="0" fontId="4" fillId="0" borderId="8" xfId="0" applyFont="1" applyBorder="1" applyAlignment="1">
      <alignment horizontal="center"/>
    </xf>
    <xf numFmtId="43" fontId="3" fillId="2" borderId="0" xfId="1" applyFont="1" applyFill="1"/>
    <xf numFmtId="164" fontId="3" fillId="4" borderId="0" xfId="0" applyNumberFormat="1" applyFont="1" applyFill="1"/>
    <xf numFmtId="43" fontId="1" fillId="0" borderId="9" xfId="1" applyFont="1" applyFill="1" applyBorder="1"/>
    <xf numFmtId="43" fontId="1" fillId="0" borderId="10" xfId="1" applyFont="1" applyFill="1" applyBorder="1"/>
    <xf numFmtId="43" fontId="1" fillId="0" borderId="11" xfId="1" applyFont="1" applyFill="1" applyBorder="1"/>
    <xf numFmtId="43" fontId="1" fillId="0" borderId="12" xfId="1" applyFont="1" applyFill="1" applyBorder="1"/>
    <xf numFmtId="43" fontId="0" fillId="0" borderId="10" xfId="1" applyFont="1" applyFill="1" applyBorder="1" applyAlignment="1">
      <alignment horizontal="right"/>
    </xf>
    <xf numFmtId="43" fontId="0" fillId="0" borderId="9" xfId="1" applyFont="1" applyFill="1" applyBorder="1" applyAlignment="1">
      <alignment horizontal="left"/>
    </xf>
    <xf numFmtId="43" fontId="0" fillId="0" borderId="12" xfId="1" applyFont="1" applyFill="1" applyBorder="1" applyAlignment="1">
      <alignment horizontal="center" vertical="center"/>
    </xf>
    <xf numFmtId="43" fontId="0" fillId="0" borderId="11" xfId="1" applyFont="1" applyFill="1" applyBorder="1" applyAlignment="1">
      <alignment horizontal="left"/>
    </xf>
    <xf numFmtId="43" fontId="3" fillId="0" borderId="10" xfId="1" applyFont="1" applyFill="1" applyBorder="1" applyAlignment="1">
      <alignment horizontal="right"/>
    </xf>
    <xf numFmtId="43" fontId="5" fillId="0" borderId="10" xfId="1" applyFont="1" applyFill="1" applyBorder="1" applyAlignment="1">
      <alignment horizontal="right"/>
    </xf>
    <xf numFmtId="43" fontId="0" fillId="3" borderId="10" xfId="1" applyFont="1" applyFill="1" applyBorder="1" applyAlignment="1">
      <alignment horizontal="right"/>
    </xf>
    <xf numFmtId="43" fontId="1" fillId="3" borderId="9" xfId="1" applyFont="1" applyFill="1" applyBorder="1"/>
    <xf numFmtId="43" fontId="0" fillId="3" borderId="1" xfId="1" applyFont="1" applyFill="1" applyBorder="1"/>
    <xf numFmtId="43" fontId="0" fillId="3" borderId="9" xfId="1" applyFont="1" applyFill="1" applyBorder="1" applyAlignment="1">
      <alignment horizontal="left"/>
    </xf>
    <xf numFmtId="43" fontId="3" fillId="0" borderId="9" xfId="1" applyFont="1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43" fontId="0" fillId="0" borderId="13" xfId="1" applyFont="1" applyFill="1" applyBorder="1" applyAlignment="1">
      <alignment horizontal="center"/>
    </xf>
    <xf numFmtId="43" fontId="0" fillId="0" borderId="2" xfId="1" applyFont="1" applyFill="1" applyBorder="1" applyAlignment="1">
      <alignment horizontal="center"/>
    </xf>
    <xf numFmtId="43" fontId="0" fillId="0" borderId="14" xfId="1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847D-5B4C-40F1-9978-2A2AFF74FE9C}">
  <dimension ref="A3:P74"/>
  <sheetViews>
    <sheetView tabSelected="1" topLeftCell="A66" workbookViewId="0">
      <selection activeCell="G87" sqref="G87"/>
    </sheetView>
  </sheetViews>
  <sheetFormatPr baseColWidth="10" defaultRowHeight="15" x14ac:dyDescent="0.25"/>
  <cols>
    <col min="1" max="1" width="33" bestFit="1" customWidth="1"/>
    <col min="2" max="2" width="23.140625" customWidth="1"/>
    <col min="3" max="3" width="20.28515625" customWidth="1"/>
    <col min="4" max="4" width="33.85546875" customWidth="1"/>
    <col min="5" max="5" width="1.85546875" customWidth="1"/>
    <col min="6" max="6" width="23.140625" customWidth="1"/>
    <col min="7" max="8" width="20.28515625" customWidth="1"/>
    <col min="9" max="9" width="1.85546875" customWidth="1"/>
    <col min="10" max="10" width="23.140625" customWidth="1"/>
    <col min="11" max="12" width="20.28515625" customWidth="1"/>
    <col min="13" max="13" width="1.85546875" customWidth="1"/>
    <col min="14" max="14" width="23.140625" customWidth="1"/>
    <col min="15" max="16" width="20.28515625" customWidth="1"/>
  </cols>
  <sheetData>
    <row r="3" spans="2:16" x14ac:dyDescent="0.25">
      <c r="B3" s="1" t="s">
        <v>0</v>
      </c>
      <c r="F3" s="1" t="s">
        <v>6</v>
      </c>
      <c r="J3" s="1" t="s">
        <v>7</v>
      </c>
      <c r="N3" s="1" t="s">
        <v>8</v>
      </c>
    </row>
    <row r="5" spans="2:16" x14ac:dyDescent="0.25">
      <c r="B5" s="2" t="s">
        <v>1</v>
      </c>
      <c r="C5" s="2" t="s">
        <v>5</v>
      </c>
      <c r="D5" s="2" t="s">
        <v>4</v>
      </c>
      <c r="F5" s="2" t="s">
        <v>1</v>
      </c>
      <c r="G5" s="2" t="s">
        <v>5</v>
      </c>
      <c r="H5" s="2" t="s">
        <v>4</v>
      </c>
      <c r="J5" s="2" t="s">
        <v>1</v>
      </c>
      <c r="K5" s="2" t="s">
        <v>5</v>
      </c>
      <c r="L5" s="2" t="s">
        <v>4</v>
      </c>
      <c r="N5" s="2" t="s">
        <v>1</v>
      </c>
      <c r="O5" s="2" t="s">
        <v>5</v>
      </c>
      <c r="P5" s="2" t="s">
        <v>4</v>
      </c>
    </row>
    <row r="6" spans="2:16" x14ac:dyDescent="0.25">
      <c r="B6" s="3">
        <v>45992</v>
      </c>
      <c r="C6" s="4"/>
      <c r="D6" s="4">
        <v>2500</v>
      </c>
      <c r="F6" s="3">
        <v>45992</v>
      </c>
      <c r="G6" s="4"/>
      <c r="H6" s="4">
        <v>2500</v>
      </c>
      <c r="J6" s="3">
        <v>45992</v>
      </c>
      <c r="K6" s="4"/>
      <c r="L6" s="4">
        <v>2500</v>
      </c>
      <c r="N6" s="3">
        <v>45992</v>
      </c>
      <c r="O6" s="4"/>
      <c r="P6" s="4">
        <v>2500</v>
      </c>
    </row>
    <row r="7" spans="2:16" x14ac:dyDescent="0.25">
      <c r="B7" s="3">
        <v>45993</v>
      </c>
      <c r="C7" s="4">
        <v>400</v>
      </c>
      <c r="D7" s="4"/>
      <c r="F7" s="3">
        <v>45993</v>
      </c>
      <c r="G7" s="4">
        <v>400</v>
      </c>
      <c r="H7" s="4"/>
      <c r="J7" s="3">
        <v>45993</v>
      </c>
      <c r="K7" s="4">
        <v>400</v>
      </c>
      <c r="L7" s="4"/>
      <c r="N7" s="3">
        <v>45993</v>
      </c>
      <c r="O7" s="4">
        <v>400</v>
      </c>
      <c r="P7" s="4"/>
    </row>
    <row r="8" spans="2:16" x14ac:dyDescent="0.25">
      <c r="B8" s="2"/>
      <c r="C8" s="4"/>
      <c r="D8" s="4"/>
      <c r="F8" s="2"/>
      <c r="G8" s="4"/>
      <c r="H8" s="4"/>
      <c r="J8" s="3">
        <v>45994</v>
      </c>
      <c r="K8" s="4">
        <v>1100</v>
      </c>
      <c r="L8" s="4"/>
      <c r="N8" s="2"/>
      <c r="O8" s="4"/>
      <c r="P8" s="4"/>
    </row>
    <row r="9" spans="2:16" x14ac:dyDescent="0.25">
      <c r="B9" s="2"/>
      <c r="C9" s="4"/>
      <c r="D9" s="4"/>
      <c r="F9" s="2"/>
      <c r="G9" s="4"/>
      <c r="H9" s="4"/>
      <c r="J9" s="3"/>
      <c r="K9" s="4"/>
      <c r="L9" s="4"/>
      <c r="N9" s="2"/>
      <c r="O9" s="4"/>
      <c r="P9" s="4"/>
    </row>
    <row r="10" spans="2:16" x14ac:dyDescent="0.25">
      <c r="B10" s="2"/>
      <c r="C10" s="4"/>
      <c r="D10" s="4"/>
      <c r="F10" s="2"/>
      <c r="G10" s="4"/>
      <c r="H10" s="4"/>
      <c r="J10" s="2"/>
      <c r="K10" s="4"/>
      <c r="L10" s="4"/>
      <c r="N10" s="2"/>
      <c r="O10" s="4"/>
      <c r="P10" s="4"/>
    </row>
    <row r="11" spans="2:16" x14ac:dyDescent="0.25">
      <c r="B11" s="2"/>
      <c r="C11" s="4"/>
      <c r="D11" s="4"/>
      <c r="F11" s="2"/>
      <c r="G11" s="4"/>
      <c r="H11" s="4"/>
      <c r="J11" s="2"/>
      <c r="K11" s="4"/>
      <c r="L11" s="4"/>
      <c r="N11" s="2"/>
      <c r="O11" s="4"/>
      <c r="P11" s="4"/>
    </row>
    <row r="12" spans="2:16" x14ac:dyDescent="0.25">
      <c r="B12" s="2"/>
      <c r="C12" s="4"/>
      <c r="D12" s="4"/>
      <c r="F12" s="2"/>
      <c r="G12" s="4"/>
      <c r="H12" s="4"/>
      <c r="J12" s="2"/>
      <c r="K12" s="4"/>
      <c r="L12" s="4"/>
      <c r="N12" s="2"/>
      <c r="O12" s="4"/>
      <c r="P12" s="4"/>
    </row>
    <row r="13" spans="2:16" x14ac:dyDescent="0.25">
      <c r="B13" s="2"/>
      <c r="C13" s="4"/>
      <c r="D13" s="4"/>
      <c r="F13" s="2"/>
      <c r="G13" s="4"/>
      <c r="H13" s="4"/>
      <c r="J13" s="2"/>
      <c r="K13" s="4"/>
      <c r="L13" s="4"/>
      <c r="N13" s="2"/>
      <c r="O13" s="4"/>
      <c r="P13" s="4"/>
    </row>
    <row r="14" spans="2:16" x14ac:dyDescent="0.25">
      <c r="B14" s="2"/>
      <c r="C14" s="4"/>
      <c r="D14" s="4"/>
      <c r="F14" s="2"/>
      <c r="G14" s="4"/>
      <c r="H14" s="4"/>
      <c r="J14" s="2"/>
      <c r="K14" s="4"/>
      <c r="L14" s="4"/>
      <c r="N14" s="2"/>
      <c r="O14" s="4"/>
      <c r="P14" s="4"/>
    </row>
    <row r="15" spans="2:16" x14ac:dyDescent="0.25">
      <c r="B15" s="2"/>
      <c r="C15" s="4"/>
      <c r="D15" s="4"/>
      <c r="F15" s="2"/>
      <c r="G15" s="4"/>
      <c r="H15" s="4"/>
      <c r="J15" s="2"/>
      <c r="K15" s="4"/>
      <c r="L15" s="4"/>
      <c r="N15" s="2"/>
      <c r="O15" s="4"/>
      <c r="P15" s="4"/>
    </row>
    <row r="16" spans="2:16" x14ac:dyDescent="0.25">
      <c r="B16" s="5" t="s">
        <v>3</v>
      </c>
      <c r="C16" s="6">
        <f>SUM(C6:C15)</f>
        <v>400</v>
      </c>
      <c r="D16" s="7">
        <f>SUM(D6:D15)</f>
        <v>2500</v>
      </c>
      <c r="F16" s="5" t="s">
        <v>3</v>
      </c>
      <c r="G16" s="6">
        <f>SUM(G6:G15)</f>
        <v>400</v>
      </c>
      <c r="H16" s="7">
        <f>SUM(H6:H15)</f>
        <v>2500</v>
      </c>
      <c r="J16" s="5" t="s">
        <v>3</v>
      </c>
      <c r="K16" s="6">
        <f>SUM(K6:K15)</f>
        <v>1500</v>
      </c>
      <c r="L16" s="7">
        <f>SUM(L6:L15)</f>
        <v>2500</v>
      </c>
      <c r="N16" s="5" t="s">
        <v>3</v>
      </c>
      <c r="O16" s="6">
        <f>SUM(O6:O15)</f>
        <v>400</v>
      </c>
      <c r="P16" s="7">
        <f>SUM(P6:P15)</f>
        <v>2500</v>
      </c>
    </row>
    <row r="17" spans="1:16" x14ac:dyDescent="0.25">
      <c r="B17" s="8" t="s">
        <v>2</v>
      </c>
      <c r="C17" s="8"/>
      <c r="D17" s="7">
        <f>+D16-C16</f>
        <v>2100</v>
      </c>
      <c r="F17" s="8" t="s">
        <v>2</v>
      </c>
      <c r="G17" s="8"/>
      <c r="H17" s="7">
        <f>+H16-G16</f>
        <v>2100</v>
      </c>
      <c r="J17" s="8" t="s">
        <v>2</v>
      </c>
      <c r="K17" s="8"/>
      <c r="L17" s="7">
        <f>+L16-K16</f>
        <v>1000</v>
      </c>
      <c r="N17" s="8" t="s">
        <v>2</v>
      </c>
      <c r="O17" s="8"/>
      <c r="P17" s="7">
        <f>+P16-O16</f>
        <v>2100</v>
      </c>
    </row>
    <row r="21" spans="1:16" x14ac:dyDescent="0.25">
      <c r="B21" s="1" t="s">
        <v>14</v>
      </c>
    </row>
    <row r="22" spans="1:16" x14ac:dyDescent="0.25">
      <c r="A22" s="2" t="s">
        <v>1</v>
      </c>
      <c r="B22" s="2" t="s">
        <v>5</v>
      </c>
      <c r="C22" s="2" t="s">
        <v>10</v>
      </c>
    </row>
    <row r="23" spans="1:16" x14ac:dyDescent="0.25">
      <c r="A23" s="3">
        <v>45992</v>
      </c>
      <c r="B23" s="4"/>
      <c r="C23" s="2" t="s">
        <v>11</v>
      </c>
    </row>
    <row r="24" spans="1:16" x14ac:dyDescent="0.25">
      <c r="A24" s="3">
        <v>45993</v>
      </c>
      <c r="B24" s="4">
        <v>400</v>
      </c>
      <c r="C24" s="2" t="s">
        <v>12</v>
      </c>
    </row>
    <row r="25" spans="1:16" x14ac:dyDescent="0.25">
      <c r="A25" s="3">
        <v>45994</v>
      </c>
      <c r="B25" s="4">
        <v>100</v>
      </c>
      <c r="C25" s="2" t="s">
        <v>13</v>
      </c>
    </row>
    <row r="26" spans="1:16" x14ac:dyDescent="0.25">
      <c r="A26" s="2"/>
      <c r="B26" s="4"/>
      <c r="C26" s="2"/>
    </row>
    <row r="27" spans="1:16" x14ac:dyDescent="0.25">
      <c r="A27" s="2"/>
      <c r="B27" s="4"/>
      <c r="C27" s="2"/>
    </row>
    <row r="28" spans="1:16" x14ac:dyDescent="0.25">
      <c r="A28" s="2"/>
      <c r="B28" s="4"/>
      <c r="C28" s="2"/>
    </row>
    <row r="29" spans="1:16" x14ac:dyDescent="0.25">
      <c r="A29" s="2"/>
      <c r="B29" s="4"/>
      <c r="C29" s="2"/>
    </row>
    <row r="30" spans="1:16" x14ac:dyDescent="0.25">
      <c r="A30" s="2"/>
      <c r="B30" s="4"/>
      <c r="C30" s="2"/>
    </row>
    <row r="31" spans="1:16" x14ac:dyDescent="0.25">
      <c r="A31" s="2"/>
      <c r="B31" s="4"/>
      <c r="C31" s="2"/>
    </row>
    <row r="32" spans="1:16" x14ac:dyDescent="0.25">
      <c r="A32" s="2"/>
      <c r="B32" s="4"/>
      <c r="C32" s="2"/>
    </row>
    <row r="33" spans="1:8" x14ac:dyDescent="0.25">
      <c r="A33" s="5" t="s">
        <v>3</v>
      </c>
      <c r="B33" s="6">
        <f>SUM(B23:B32)</f>
        <v>500</v>
      </c>
    </row>
    <row r="34" spans="1:8" x14ac:dyDescent="0.25">
      <c r="A34" s="5" t="s">
        <v>2</v>
      </c>
      <c r="B34" s="5">
        <f>B33</f>
        <v>500</v>
      </c>
    </row>
    <row r="36" spans="1:8" x14ac:dyDescent="0.25">
      <c r="B36" s="1" t="s">
        <v>24</v>
      </c>
      <c r="G36" s="1" t="s">
        <v>25</v>
      </c>
    </row>
    <row r="37" spans="1:8" x14ac:dyDescent="0.25">
      <c r="A37" s="2" t="s">
        <v>1</v>
      </c>
      <c r="B37" s="2" t="s">
        <v>5</v>
      </c>
      <c r="C37" s="2" t="s">
        <v>10</v>
      </c>
      <c r="F37" s="2" t="s">
        <v>1</v>
      </c>
      <c r="G37" s="2" t="s">
        <v>23</v>
      </c>
      <c r="H37" s="2" t="s">
        <v>10</v>
      </c>
    </row>
    <row r="38" spans="1:8" x14ac:dyDescent="0.25">
      <c r="A38" s="3">
        <v>45992</v>
      </c>
      <c r="B38" s="4">
        <v>300</v>
      </c>
      <c r="C38" s="2" t="s">
        <v>15</v>
      </c>
      <c r="F38" s="3">
        <v>45992</v>
      </c>
      <c r="G38" s="4">
        <v>300</v>
      </c>
      <c r="H38" s="2" t="s">
        <v>15</v>
      </c>
    </row>
    <row r="39" spans="1:8" x14ac:dyDescent="0.25">
      <c r="A39" s="3">
        <v>45993</v>
      </c>
      <c r="B39" s="4">
        <v>400</v>
      </c>
      <c r="C39" s="2" t="s">
        <v>16</v>
      </c>
      <c r="F39" s="3"/>
      <c r="G39" s="4"/>
      <c r="H39" s="2"/>
    </row>
    <row r="40" spans="1:8" x14ac:dyDescent="0.25">
      <c r="A40" s="3">
        <v>45994</v>
      </c>
      <c r="B40" s="4">
        <v>100</v>
      </c>
      <c r="C40" s="2" t="s">
        <v>17</v>
      </c>
      <c r="F40" s="3"/>
      <c r="G40" s="4"/>
      <c r="H40" s="2"/>
    </row>
    <row r="41" spans="1:8" x14ac:dyDescent="0.25">
      <c r="A41" s="2"/>
      <c r="B41" s="4"/>
      <c r="C41" s="2"/>
      <c r="F41" s="2"/>
      <c r="G41" s="4"/>
      <c r="H41" s="2"/>
    </row>
    <row r="42" spans="1:8" x14ac:dyDescent="0.25">
      <c r="A42" s="2"/>
      <c r="B42" s="4"/>
      <c r="C42" s="2"/>
      <c r="F42" s="2"/>
      <c r="G42" s="4"/>
      <c r="H42" s="2"/>
    </row>
    <row r="43" spans="1:8" x14ac:dyDescent="0.25">
      <c r="A43" s="2"/>
      <c r="B43" s="4"/>
      <c r="C43" s="2"/>
      <c r="F43" s="2"/>
      <c r="G43" s="4"/>
      <c r="H43" s="2"/>
    </row>
    <row r="44" spans="1:8" x14ac:dyDescent="0.25">
      <c r="A44" s="2"/>
      <c r="B44" s="4"/>
      <c r="C44" s="2"/>
      <c r="F44" s="2"/>
      <c r="G44" s="4"/>
      <c r="H44" s="2"/>
    </row>
    <row r="45" spans="1:8" x14ac:dyDescent="0.25">
      <c r="A45" s="2"/>
      <c r="B45" s="4"/>
      <c r="C45" s="2"/>
      <c r="F45" s="2"/>
      <c r="G45" s="4"/>
      <c r="H45" s="2"/>
    </row>
    <row r="46" spans="1:8" x14ac:dyDescent="0.25">
      <c r="A46" s="2"/>
      <c r="B46" s="4"/>
      <c r="C46" s="2"/>
      <c r="F46" s="2"/>
      <c r="G46" s="4"/>
      <c r="H46" s="2"/>
    </row>
    <row r="47" spans="1:8" x14ac:dyDescent="0.25">
      <c r="A47" s="2"/>
      <c r="B47" s="4"/>
      <c r="C47" s="2"/>
      <c r="F47" s="2"/>
      <c r="G47" s="4"/>
      <c r="H47" s="2"/>
    </row>
    <row r="48" spans="1:8" x14ac:dyDescent="0.25">
      <c r="A48" s="5" t="s">
        <v>3</v>
      </c>
      <c r="B48" s="6">
        <f>SUM(B38:B47)</f>
        <v>800</v>
      </c>
      <c r="F48" s="5" t="s">
        <v>3</v>
      </c>
      <c r="G48" s="6">
        <f>SUM(G38:G47)</f>
        <v>300</v>
      </c>
    </row>
    <row r="49" spans="1:7" x14ac:dyDescent="0.25">
      <c r="A49" s="5" t="s">
        <v>2</v>
      </c>
      <c r="B49" s="5">
        <f>B48</f>
        <v>800</v>
      </c>
      <c r="F49" s="5" t="s">
        <v>2</v>
      </c>
      <c r="G49" s="5">
        <f>G48</f>
        <v>300</v>
      </c>
    </row>
    <row r="52" spans="1:7" x14ac:dyDescent="0.25">
      <c r="A52" s="2" t="s">
        <v>18</v>
      </c>
      <c r="B52" s="2">
        <v>5000</v>
      </c>
      <c r="C52" s="9" t="s">
        <v>21</v>
      </c>
    </row>
    <row r="53" spans="1:7" x14ac:dyDescent="0.25">
      <c r="A53" s="2" t="s">
        <v>19</v>
      </c>
      <c r="B53" s="2">
        <v>4000</v>
      </c>
      <c r="C53" s="10"/>
    </row>
    <row r="54" spans="1:7" x14ac:dyDescent="0.25">
      <c r="A54" s="2" t="s">
        <v>20</v>
      </c>
      <c r="B54" s="2">
        <v>15000</v>
      </c>
      <c r="C54" s="11"/>
    </row>
    <row r="55" spans="1:7" x14ac:dyDescent="0.25">
      <c r="A55" s="36"/>
      <c r="B55" s="36"/>
      <c r="C55" s="37"/>
    </row>
    <row r="58" spans="1:7" x14ac:dyDescent="0.25">
      <c r="A58" s="12" t="s">
        <v>29</v>
      </c>
      <c r="B58" s="13"/>
      <c r="C58" s="13"/>
    </row>
    <row r="59" spans="1:7" ht="18" thickBot="1" x14ac:dyDescent="0.3">
      <c r="B59" s="14" t="s">
        <v>5</v>
      </c>
      <c r="C59" s="14" t="s">
        <v>23</v>
      </c>
    </row>
    <row r="60" spans="1:7" x14ac:dyDescent="0.25">
      <c r="A60" s="15" t="s">
        <v>22</v>
      </c>
      <c r="B60" s="16"/>
      <c r="C60" s="17"/>
      <c r="D60" s="18" t="s">
        <v>22</v>
      </c>
    </row>
    <row r="61" spans="1:7" x14ac:dyDescent="0.25">
      <c r="A61" s="31" t="str">
        <f>A54</f>
        <v>COMPTAGE MATIN</v>
      </c>
      <c r="B61" s="32">
        <f>B54</f>
        <v>15000</v>
      </c>
      <c r="C61" s="33">
        <v>5000</v>
      </c>
      <c r="D61" s="34" t="str">
        <f>A52</f>
        <v xml:space="preserve">RESTE J-1: </v>
      </c>
    </row>
    <row r="62" spans="1:7" x14ac:dyDescent="0.25">
      <c r="A62" s="31"/>
      <c r="B62" s="32"/>
      <c r="C62" s="33">
        <v>4000</v>
      </c>
      <c r="D62" s="34" t="str">
        <f>A53</f>
        <v>RECETTE A 8H</v>
      </c>
    </row>
    <row r="63" spans="1:7" x14ac:dyDescent="0.25">
      <c r="A63" s="38" t="s">
        <v>30</v>
      </c>
      <c r="B63" s="39"/>
      <c r="C63" s="39"/>
      <c r="D63" s="40"/>
    </row>
    <row r="64" spans="1:7" x14ac:dyDescent="0.25">
      <c r="A64" s="30" t="s">
        <v>9</v>
      </c>
      <c r="B64" s="21">
        <f>B34</f>
        <v>500</v>
      </c>
      <c r="C64" s="22"/>
      <c r="D64" s="26"/>
    </row>
    <row r="65" spans="1:4" ht="17.25" x14ac:dyDescent="0.4">
      <c r="A65" s="29" t="s">
        <v>26</v>
      </c>
      <c r="B65" s="21">
        <f>B49</f>
        <v>800</v>
      </c>
      <c r="C65" s="22">
        <f>G49</f>
        <v>300</v>
      </c>
      <c r="D65" s="35" t="s">
        <v>27</v>
      </c>
    </row>
    <row r="66" spans="1:4" x14ac:dyDescent="0.25">
      <c r="A66" s="25"/>
      <c r="B66" s="21"/>
      <c r="C66" s="22"/>
      <c r="D66" s="26"/>
    </row>
    <row r="67" spans="1:4" ht="17.25" x14ac:dyDescent="0.4">
      <c r="A67" s="29" t="s">
        <v>28</v>
      </c>
      <c r="B67" s="21"/>
      <c r="C67" s="22"/>
      <c r="D67" s="26"/>
    </row>
    <row r="68" spans="1:4" x14ac:dyDescent="0.25">
      <c r="A68" s="25"/>
      <c r="B68" s="21"/>
      <c r="C68" s="22">
        <f>D17</f>
        <v>2100</v>
      </c>
      <c r="D68" s="26" t="str">
        <f>B3</f>
        <v>STE OTRADI:</v>
      </c>
    </row>
    <row r="69" spans="1:4" x14ac:dyDescent="0.25">
      <c r="A69" s="25"/>
      <c r="B69" s="21"/>
      <c r="C69" s="22">
        <f>H17</f>
        <v>2100</v>
      </c>
      <c r="D69" s="26" t="str">
        <f>F3</f>
        <v>STE STM SCHOOL:</v>
      </c>
    </row>
    <row r="70" spans="1:4" x14ac:dyDescent="0.25">
      <c r="A70" s="25"/>
      <c r="B70" s="21"/>
      <c r="C70" s="22">
        <f>L17</f>
        <v>1000</v>
      </c>
      <c r="D70" s="26" t="str">
        <f>J3</f>
        <v>ASSOCIATION SIRAJ</v>
      </c>
    </row>
    <row r="71" spans="1:4" x14ac:dyDescent="0.25">
      <c r="A71" s="25"/>
      <c r="B71" s="21"/>
      <c r="C71" s="22">
        <f>P17</f>
        <v>2100</v>
      </c>
      <c r="D71" s="26" t="str">
        <f>N3</f>
        <v>STE RITAGE SEVEN C</v>
      </c>
    </row>
    <row r="72" spans="1:4" x14ac:dyDescent="0.25">
      <c r="A72" s="25"/>
      <c r="B72" s="21"/>
      <c r="C72" s="22"/>
      <c r="D72" s="26"/>
    </row>
    <row r="73" spans="1:4" ht="15.75" thickBot="1" x14ac:dyDescent="0.3">
      <c r="A73" s="27"/>
      <c r="B73" s="23"/>
      <c r="C73" s="24"/>
      <c r="D73" s="28"/>
    </row>
    <row r="74" spans="1:4" ht="17.25" x14ac:dyDescent="0.4">
      <c r="B74" s="19">
        <f>SUM(B61:B73)</f>
        <v>16300</v>
      </c>
      <c r="C74" s="19">
        <f>SUM(C61:C73)</f>
        <v>16600</v>
      </c>
      <c r="D74" s="20">
        <f>+B74-C74</f>
        <v>-300</v>
      </c>
    </row>
  </sheetData>
  <mergeCells count="6">
    <mergeCell ref="C52:C54"/>
    <mergeCell ref="A63:D63"/>
    <mergeCell ref="B17:C17"/>
    <mergeCell ref="F17:G17"/>
    <mergeCell ref="J17:K17"/>
    <mergeCell ref="N17:O17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ISTIRAHA Pepiniere</dc:creator>
  <cp:lastModifiedBy>ISTIRAHA Pepiniere</cp:lastModifiedBy>
  <dcterms:created xsi:type="dcterms:W3CDTF">2025-12-05T09:03:39Z</dcterms:created>
  <dcterms:modified xsi:type="dcterms:W3CDTF">2025-12-05T10:14:57Z</dcterms:modified>
</cp:coreProperties>
</file>